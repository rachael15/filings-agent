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CHAEL\Documents\filings-agent\out\"/>
    </mc:Choice>
  </mc:AlternateContent>
  <xr:revisionPtr revIDLastSave="0" documentId="13_ncr:1_{97396B14-6E37-4A4C-B528-FD769D9682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3" i="1"/>
  <c r="B33" i="1"/>
  <c r="D30" i="1"/>
  <c r="C30" i="1"/>
  <c r="B30" i="1"/>
  <c r="E29" i="1"/>
  <c r="F29" i="1" s="1"/>
  <c r="G29" i="1" s="1"/>
  <c r="D26" i="1"/>
  <c r="C26" i="1"/>
  <c r="B26" i="1"/>
  <c r="D24" i="1"/>
  <c r="C24" i="1"/>
  <c r="G22" i="1"/>
  <c r="F22" i="1"/>
  <c r="E22" i="1"/>
  <c r="G14" i="1"/>
  <c r="F14" i="1"/>
  <c r="E14" i="1"/>
  <c r="G9" i="1"/>
  <c r="F9" i="1"/>
  <c r="E9" i="1"/>
  <c r="E23" i="1" s="1"/>
  <c r="E32" i="1" l="1"/>
  <c r="F23" i="1"/>
  <c r="E31" i="1"/>
  <c r="E25" i="1"/>
  <c r="E24" i="1"/>
  <c r="E27" i="1" l="1"/>
  <c r="E28" i="1" s="1"/>
  <c r="E26" i="1"/>
  <c r="F31" i="1"/>
  <c r="F25" i="1"/>
  <c r="F24" i="1"/>
  <c r="G23" i="1"/>
  <c r="F32" i="1"/>
  <c r="G24" i="1" l="1"/>
  <c r="G31" i="1"/>
  <c r="G25" i="1"/>
  <c r="G32" i="1"/>
  <c r="F26" i="1"/>
  <c r="F27" i="1"/>
  <c r="F28" i="1" s="1"/>
  <c r="E33" i="1"/>
  <c r="E30" i="1"/>
  <c r="F33" i="1" l="1"/>
  <c r="F30" i="1"/>
  <c r="G27" i="1"/>
  <c r="G26" i="1"/>
  <c r="G28" i="1"/>
  <c r="G33" i="1" l="1"/>
  <c r="G30" i="1"/>
</calcChain>
</file>

<file path=xl/sharedStrings.xml><?xml version="1.0" encoding="utf-8"?>
<sst xmlns="http://schemas.openxmlformats.org/spreadsheetml/2006/main" count="36" uniqueCount="36">
  <si>
    <t>Apple Inc. - simplified operating model ($M except per share)</t>
  </si>
  <si>
    <t>Scenario (1=Bear, 2=Base, 3=Bull)</t>
  </si>
  <si>
    <t>Blue = input. Net income = EBIT x (1 - tax); ignores interest/other. Not investment advice.</t>
  </si>
  <si>
    <t>Assumptions</t>
  </si>
  <si>
    <t>2026E</t>
  </si>
  <si>
    <t>2027E</t>
  </si>
  <si>
    <t>2028E</t>
  </si>
  <si>
    <t>Revenue growth - Bear</t>
  </si>
  <si>
    <t>Revenue growth - Base</t>
  </si>
  <si>
    <t>Revenue growth - Bull</t>
  </si>
  <si>
    <t>Revenue growth - Selected</t>
  </si>
  <si>
    <t>Operating margin - Bear</t>
  </si>
  <si>
    <t>Operating margin - Base</t>
  </si>
  <si>
    <t>Operating margin - Bull</t>
  </si>
  <si>
    <t>Operating margin - Selected</t>
  </si>
  <si>
    <t>Tax rate</t>
  </si>
  <si>
    <t>D&amp;A % revenue</t>
  </si>
  <si>
    <t>Capex % revenue</t>
  </si>
  <si>
    <t>Diluted share change</t>
  </si>
  <si>
    <t>Line item</t>
  </si>
  <si>
    <t>2023A</t>
  </si>
  <si>
    <t>2024A</t>
  </si>
  <si>
    <t>2025A</t>
  </si>
  <si>
    <t>Revenue</t>
  </si>
  <si>
    <t xml:space="preserve">  growth %</t>
  </si>
  <si>
    <t>Operating income</t>
  </si>
  <si>
    <t xml:space="preserve">  margin %</t>
  </si>
  <si>
    <t>Taxes</t>
  </si>
  <si>
    <t>Net income</t>
  </si>
  <si>
    <t>Diluted shares (M)</t>
  </si>
  <si>
    <t>EPS (diluted)</t>
  </si>
  <si>
    <t>D&amp;A</t>
  </si>
  <si>
    <t>Capex</t>
  </si>
  <si>
    <t>Free cash flow (NI + D&amp;A - capex)</t>
  </si>
  <si>
    <t>Rationale</t>
  </si>
  <si>
    <t>FY26E: nine-month revenue is already +16% ($364.4B) and Q4 implies ~$481B (+15-16%); base assumes it normalises to mid/high single digits as the iPhone cycle laps. Margins: nine-month operating margin is 33.6% but Q3 includes ~2 pts of one-off tariff refunds and management warns of memory-cost and gross-margin pressure, so base eases to 32.5%; bear reflects cost inflation and demand pushback; bull assumes iPhone/Services mix holds margins. Tax ~17.5% (nine-month rate); D&amp;A and capex near FY25 ratios; share count -2.5%/yr in line with recent buybacks. Assumptions are my judgement from the filings, not company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</si>
</sst>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11"/>
      <color rgb="FF0000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2" borderId="0" xfId="0" applyFont="1" applyFill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E8" sqref="E8"/>
    </sheetView>
  </sheetViews>
  <sheetFormatPr defaultRowHeight="14.4" x14ac:dyDescent="0.3"/>
  <cols>
    <col min="1" max="1" width="38" customWidth="1"/>
    <col min="2" max="7" width="12" customWidth="1"/>
  </cols>
  <sheetData>
    <row r="1" spans="1:7" ht="17.399999999999999" x14ac:dyDescent="0.35">
      <c r="A1" s="1" t="s">
        <v>0</v>
      </c>
    </row>
    <row r="3" spans="1:7" x14ac:dyDescent="0.3">
      <c r="A3" t="s">
        <v>1</v>
      </c>
      <c r="B3" s="2">
        <v>2</v>
      </c>
    </row>
    <row r="4" spans="1:7" x14ac:dyDescent="0.3">
      <c r="A4" t="s">
        <v>2</v>
      </c>
    </row>
    <row r="5" spans="1:7" x14ac:dyDescent="0.3">
      <c r="A5" s="3" t="s">
        <v>3</v>
      </c>
      <c r="E5" s="3" t="s">
        <v>4</v>
      </c>
      <c r="F5" s="3" t="s">
        <v>5</v>
      </c>
      <c r="G5" s="3" t="s">
        <v>6</v>
      </c>
    </row>
    <row r="6" spans="1:7" x14ac:dyDescent="0.3">
      <c r="A6" t="s">
        <v>7</v>
      </c>
      <c r="E6" s="4">
        <v>0.13</v>
      </c>
      <c r="F6" s="4">
        <v>0.02</v>
      </c>
      <c r="G6" s="4">
        <v>0.02</v>
      </c>
    </row>
    <row r="7" spans="1:7" x14ac:dyDescent="0.3">
      <c r="A7" t="s">
        <v>8</v>
      </c>
      <c r="E7" s="4">
        <v>0.15</v>
      </c>
      <c r="F7" s="4">
        <v>7.0000000000000007E-2</v>
      </c>
      <c r="G7" s="4">
        <v>0.06</v>
      </c>
    </row>
    <row r="8" spans="1:7" x14ac:dyDescent="0.3">
      <c r="A8" t="s">
        <v>9</v>
      </c>
      <c r="E8" s="4">
        <v>0.17</v>
      </c>
      <c r="F8" s="4">
        <v>0.1</v>
      </c>
      <c r="G8" s="4">
        <v>0.08</v>
      </c>
    </row>
    <row r="9" spans="1:7" x14ac:dyDescent="0.3">
      <c r="A9" t="s">
        <v>10</v>
      </c>
      <c r="E9" s="5">
        <f>CHOOSE($B$3,E6,E7,E8)</f>
        <v>0.15</v>
      </c>
      <c r="F9" s="5">
        <f>CHOOSE($B$3,F6,F7,F8)</f>
        <v>7.0000000000000007E-2</v>
      </c>
      <c r="G9" s="5">
        <f>CHOOSE($B$3,G6,G7,G8)</f>
        <v>0.06</v>
      </c>
    </row>
    <row r="11" spans="1:7" x14ac:dyDescent="0.3">
      <c r="A11" t="s">
        <v>11</v>
      </c>
      <c r="E11" s="4">
        <v>0.315</v>
      </c>
      <c r="F11" s="4">
        <v>0.3</v>
      </c>
      <c r="G11" s="4">
        <v>0.29499999999999998</v>
      </c>
    </row>
    <row r="12" spans="1:7" x14ac:dyDescent="0.3">
      <c r="A12" t="s">
        <v>12</v>
      </c>
      <c r="E12" s="4">
        <v>0.33</v>
      </c>
      <c r="F12" s="4">
        <v>0.32500000000000001</v>
      </c>
      <c r="G12" s="4">
        <v>0.32500000000000001</v>
      </c>
    </row>
    <row r="13" spans="1:7" x14ac:dyDescent="0.3">
      <c r="A13" t="s">
        <v>13</v>
      </c>
      <c r="E13" s="4">
        <v>0.34</v>
      </c>
      <c r="F13" s="4">
        <v>0.34</v>
      </c>
      <c r="G13" s="4">
        <v>0.34499999999999997</v>
      </c>
    </row>
    <row r="14" spans="1:7" x14ac:dyDescent="0.3">
      <c r="A14" t="s">
        <v>14</v>
      </c>
      <c r="E14" s="5">
        <f>CHOOSE($B$3,E11,E12,E13)</f>
        <v>0.33</v>
      </c>
      <c r="F14" s="5">
        <f>CHOOSE($B$3,F11,F12,F13)</f>
        <v>0.32500000000000001</v>
      </c>
      <c r="G14" s="5">
        <f>CHOOSE($B$3,G11,G12,G13)</f>
        <v>0.32500000000000001</v>
      </c>
    </row>
    <row r="16" spans="1:7" x14ac:dyDescent="0.3">
      <c r="A16" t="s">
        <v>15</v>
      </c>
      <c r="E16" s="4">
        <v>0.17499999999999999</v>
      </c>
      <c r="F16" s="4">
        <v>0.17499999999999999</v>
      </c>
      <c r="G16" s="4">
        <v>0.17499999999999999</v>
      </c>
    </row>
    <row r="17" spans="1:7" x14ac:dyDescent="0.3">
      <c r="A17" t="s">
        <v>16</v>
      </c>
      <c r="E17" s="4">
        <v>2.8000000000000001E-2</v>
      </c>
      <c r="F17" s="4">
        <v>2.8000000000000001E-2</v>
      </c>
      <c r="G17" s="4">
        <v>2.8000000000000001E-2</v>
      </c>
    </row>
    <row r="18" spans="1:7" x14ac:dyDescent="0.3">
      <c r="A18" t="s">
        <v>17</v>
      </c>
      <c r="E18" s="4">
        <v>0.03</v>
      </c>
      <c r="F18" s="4">
        <v>0.03</v>
      </c>
      <c r="G18" s="4">
        <v>0.03</v>
      </c>
    </row>
    <row r="19" spans="1:7" x14ac:dyDescent="0.3">
      <c r="A19" t="s">
        <v>18</v>
      </c>
      <c r="E19" s="4">
        <v>-2.5000000000000001E-2</v>
      </c>
      <c r="F19" s="4">
        <v>-2.5000000000000001E-2</v>
      </c>
      <c r="G19" s="4">
        <v>-2.5000000000000001E-2</v>
      </c>
    </row>
    <row r="22" spans="1:7" x14ac:dyDescent="0.3">
      <c r="A22" s="6" t="s">
        <v>19</v>
      </c>
      <c r="B22" s="6" t="s">
        <v>20</v>
      </c>
      <c r="C22" s="6" t="s">
        <v>21</v>
      </c>
      <c r="D22" s="6" t="s">
        <v>22</v>
      </c>
      <c r="E22" s="6" t="str">
        <f>E5</f>
        <v>2026E</v>
      </c>
      <c r="F22" s="6" t="str">
        <f>F5</f>
        <v>2027E</v>
      </c>
      <c r="G22" s="6" t="str">
        <f>G5</f>
        <v>2028E</v>
      </c>
    </row>
    <row r="23" spans="1:7" x14ac:dyDescent="0.3">
      <c r="A23" t="s">
        <v>23</v>
      </c>
      <c r="B23" s="7">
        <v>383285</v>
      </c>
      <c r="C23" s="7">
        <v>391035</v>
      </c>
      <c r="D23" s="7">
        <v>416161</v>
      </c>
      <c r="E23" s="7">
        <f>D23*(1+E9)</f>
        <v>478585.14999999997</v>
      </c>
      <c r="F23" s="7">
        <f>E23*(1+F9)</f>
        <v>512086.11050000001</v>
      </c>
      <c r="G23" s="7">
        <f>F23*(1+G9)</f>
        <v>542811.27713000006</v>
      </c>
    </row>
    <row r="24" spans="1:7" x14ac:dyDescent="0.3">
      <c r="A24" t="s">
        <v>24</v>
      </c>
      <c r="B24" s="5"/>
      <c r="C24" s="5">
        <f>IFERROR(C23/B23-1,"")</f>
        <v>2.021994077514111E-2</v>
      </c>
      <c r="D24" s="5">
        <f>IFERROR(D23/C23-1,"")</f>
        <v>6.425511782832749E-2</v>
      </c>
      <c r="E24" s="5">
        <f>IFERROR(E23/D23-1,"")</f>
        <v>0.14999999999999991</v>
      </c>
      <c r="F24" s="5">
        <f>IFERROR(F23/E23-1,"")</f>
        <v>7.0000000000000062E-2</v>
      </c>
      <c r="G24" s="5">
        <f>IFERROR(G23/F23-1,"")</f>
        <v>6.0000000000000053E-2</v>
      </c>
    </row>
    <row r="25" spans="1:7" x14ac:dyDescent="0.3">
      <c r="A25" t="s">
        <v>25</v>
      </c>
      <c r="B25" s="7">
        <v>114301</v>
      </c>
      <c r="C25" s="7">
        <v>123216</v>
      </c>
      <c r="D25" s="7">
        <v>133050</v>
      </c>
      <c r="E25" s="7">
        <f>E23*E14</f>
        <v>157933.09949999998</v>
      </c>
      <c r="F25" s="7">
        <f>F23*F14</f>
        <v>166427.98591250001</v>
      </c>
      <c r="G25" s="7">
        <f>G23*G14</f>
        <v>176413.66506725003</v>
      </c>
    </row>
    <row r="26" spans="1:7" x14ac:dyDescent="0.3">
      <c r="A26" t="s">
        <v>26</v>
      </c>
      <c r="B26" s="5">
        <f t="shared" ref="B26:G26" si="0">IFERROR(B25/B23,"")</f>
        <v>0.29821412265024722</v>
      </c>
      <c r="C26" s="5">
        <f t="shared" si="0"/>
        <v>0.31510222870075566</v>
      </c>
      <c r="D26" s="5">
        <f t="shared" si="0"/>
        <v>0.31970799762591884</v>
      </c>
      <c r="E26" s="5">
        <f t="shared" si="0"/>
        <v>0.32999999999999996</v>
      </c>
      <c r="F26" s="5">
        <f t="shared" si="0"/>
        <v>0.32500000000000001</v>
      </c>
      <c r="G26" s="5">
        <f t="shared" si="0"/>
        <v>0.32500000000000001</v>
      </c>
    </row>
    <row r="27" spans="1:7" x14ac:dyDescent="0.3">
      <c r="A27" t="s">
        <v>27</v>
      </c>
      <c r="B27" s="7"/>
      <c r="C27" s="7"/>
      <c r="D27" s="7"/>
      <c r="E27" s="7">
        <f>E25*E16</f>
        <v>27638.292412499995</v>
      </c>
      <c r="F27" s="7">
        <f>F25*F16</f>
        <v>29124.897534687498</v>
      </c>
      <c r="G27" s="7">
        <f>G25*G16</f>
        <v>30872.391386768752</v>
      </c>
    </row>
    <row r="28" spans="1:7" x14ac:dyDescent="0.3">
      <c r="A28" t="s">
        <v>28</v>
      </c>
      <c r="B28" s="7">
        <v>96995</v>
      </c>
      <c r="C28" s="7">
        <v>93736</v>
      </c>
      <c r="D28" s="7">
        <v>112010</v>
      </c>
      <c r="E28" s="7">
        <f>E25-E27</f>
        <v>130294.80708749998</v>
      </c>
      <c r="F28" s="7">
        <f>F25-F27</f>
        <v>137303.0883778125</v>
      </c>
      <c r="G28" s="7">
        <f>G25-G27</f>
        <v>145541.27368048127</v>
      </c>
    </row>
    <row r="29" spans="1:7" x14ac:dyDescent="0.3">
      <c r="A29" t="s">
        <v>29</v>
      </c>
      <c r="B29" s="7">
        <v>15812.547</v>
      </c>
      <c r="C29" s="7">
        <v>15408.094999999999</v>
      </c>
      <c r="D29" s="7">
        <v>15004.697</v>
      </c>
      <c r="E29" s="7">
        <f>D29*(1+E19)</f>
        <v>14629.579575</v>
      </c>
      <c r="F29" s="7">
        <f>E29*(1+F19)</f>
        <v>14263.840085624999</v>
      </c>
      <c r="G29" s="7">
        <f>F29*(1+G19)</f>
        <v>13907.244083484375</v>
      </c>
    </row>
    <row r="30" spans="1:7" x14ac:dyDescent="0.3">
      <c r="A30" t="s">
        <v>30</v>
      </c>
      <c r="B30" s="8">
        <f t="shared" ref="B30:G30" si="1">IFERROR(B28/B29,"")</f>
        <v>6.1340529138031972</v>
      </c>
      <c r="C30" s="8">
        <f t="shared" si="1"/>
        <v>6.0835554297919376</v>
      </c>
      <c r="D30" s="8">
        <f t="shared" si="1"/>
        <v>7.4649957943169394</v>
      </c>
      <c r="E30" s="8">
        <f t="shared" si="1"/>
        <v>8.9062577922715178</v>
      </c>
      <c r="F30" s="8">
        <f t="shared" si="1"/>
        <v>9.6259553916469951</v>
      </c>
      <c r="G30" s="8">
        <f t="shared" si="1"/>
        <v>10.465141246303402</v>
      </c>
    </row>
    <row r="31" spans="1:7" x14ac:dyDescent="0.3">
      <c r="A31" t="s">
        <v>31</v>
      </c>
      <c r="B31" s="7">
        <v>11519</v>
      </c>
      <c r="C31" s="7">
        <v>11445</v>
      </c>
      <c r="D31" s="7">
        <v>11698</v>
      </c>
      <c r="E31" s="7">
        <f>E23*E17</f>
        <v>13400.384199999999</v>
      </c>
      <c r="F31" s="7">
        <f>F23*F17</f>
        <v>14338.411094000001</v>
      </c>
      <c r="G31" s="7">
        <f>G23*G17</f>
        <v>15198.715759640001</v>
      </c>
    </row>
    <row r="32" spans="1:7" x14ac:dyDescent="0.3">
      <c r="A32" t="s">
        <v>32</v>
      </c>
      <c r="B32" s="7">
        <v>10959</v>
      </c>
      <c r="C32" s="7">
        <v>9447</v>
      </c>
      <c r="D32" s="7">
        <v>12715</v>
      </c>
      <c r="E32" s="7">
        <f>E23*E18</f>
        <v>14357.554499999998</v>
      </c>
      <c r="F32" s="7">
        <f>F23*F18</f>
        <v>15362.583315</v>
      </c>
      <c r="G32" s="7">
        <f>G23*G18</f>
        <v>16284.338313900002</v>
      </c>
    </row>
    <row r="33" spans="1:7" x14ac:dyDescent="0.3">
      <c r="A33" t="s">
        <v>33</v>
      </c>
      <c r="B33" s="7">
        <f t="shared" ref="B33:G33" si="2">IFERROR(B28+B31-B32,"")</f>
        <v>97555</v>
      </c>
      <c r="C33" s="7">
        <f t="shared" si="2"/>
        <v>95734</v>
      </c>
      <c r="D33" s="7">
        <f t="shared" si="2"/>
        <v>110993</v>
      </c>
      <c r="E33" s="7">
        <f t="shared" si="2"/>
        <v>129337.63678749997</v>
      </c>
      <c r="F33" s="7">
        <f t="shared" si="2"/>
        <v>136278.91615681251</v>
      </c>
      <c r="G33" s="7">
        <f t="shared" si="2"/>
        <v>144455.65112622129</v>
      </c>
    </row>
    <row r="35" spans="1:7" x14ac:dyDescent="0.3">
      <c r="A35" s="3" t="s">
        <v>34</v>
      </c>
    </row>
    <row r="36" spans="1:7" x14ac:dyDescent="0.3">
      <c r="A3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Dias</cp:lastModifiedBy>
  <dcterms:created xsi:type="dcterms:W3CDTF">2026-10-02T20:09:58Z</dcterms:created>
  <dcterms:modified xsi:type="dcterms:W3CDTF">2026-10-02T20:14:18Z</dcterms:modified>
</cp:coreProperties>
</file>